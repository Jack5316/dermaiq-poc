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.sharepoint.com/sites/2023TechEntrepreneurship/Shared Documents/General/Week 4 BMC Pitchdeck/"/>
    </mc:Choice>
  </mc:AlternateContent>
  <xr:revisionPtr revIDLastSave="4" documentId="8_{109A150D-900D-4074-B3AE-CB7C6CE60FC4}" xr6:coauthVersionLast="47" xr6:coauthVersionMax="47" xr10:uidLastSave="{75D1564F-6E4A-4C1D-9E85-973599865929}"/>
  <bookViews>
    <workbookView xWindow="3300" yWindow="2970" windowWidth="23690" windowHeight="18270" xr2:uid="{3EBF4008-A3DE-451E-A8D5-4C1CEC57C195}"/>
  </bookViews>
  <sheets>
    <sheet name="Income Statement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F46" i="1" s="1"/>
  <c r="J33" i="1"/>
  <c r="I33" i="1"/>
  <c r="H33" i="1"/>
  <c r="G33" i="1"/>
  <c r="F33" i="1"/>
  <c r="E33" i="1"/>
  <c r="D33" i="1"/>
  <c r="E16" i="1"/>
  <c r="E18" i="1" s="1"/>
  <c r="D16" i="1"/>
  <c r="D18" i="1" s="1"/>
  <c r="D20" i="1" s="1"/>
  <c r="D35" i="1" s="1"/>
  <c r="D9" i="1"/>
  <c r="E8" i="1"/>
  <c r="F8" i="1" s="1"/>
  <c r="E7" i="1"/>
  <c r="F7" i="1" s="1"/>
  <c r="G7" i="1" s="1"/>
  <c r="H7" i="1" s="1"/>
  <c r="I7" i="1" s="1"/>
  <c r="J7" i="1" s="1"/>
  <c r="E6" i="1"/>
  <c r="F6" i="1" s="1"/>
  <c r="G6" i="1" s="1"/>
  <c r="H6" i="1" s="1"/>
  <c r="I6" i="1" s="1"/>
  <c r="J6" i="1" s="1"/>
  <c r="F9" i="1" l="1"/>
  <c r="G8" i="1"/>
  <c r="G46" i="1"/>
  <c r="F16" i="1"/>
  <c r="F18" i="1" s="1"/>
  <c r="E9" i="1"/>
  <c r="E10" i="1" l="1"/>
  <c r="E20" i="1"/>
  <c r="E35" i="1" s="1"/>
  <c r="H46" i="1"/>
  <c r="G16" i="1"/>
  <c r="G18" i="1" s="1"/>
  <c r="H8" i="1"/>
  <c r="G9" i="1"/>
  <c r="F20" i="1"/>
  <c r="F35" i="1" s="1"/>
  <c r="F10" i="1"/>
  <c r="H9" i="1" l="1"/>
  <c r="I8" i="1"/>
  <c r="G10" i="1"/>
  <c r="G20" i="1"/>
  <c r="G35" i="1" s="1"/>
  <c r="I46" i="1"/>
  <c r="H16" i="1"/>
  <c r="H18" i="1" s="1"/>
  <c r="I9" i="1" l="1"/>
  <c r="J8" i="1"/>
  <c r="J9" i="1" s="1"/>
  <c r="J46" i="1"/>
  <c r="J16" i="1" s="1"/>
  <c r="J18" i="1" s="1"/>
  <c r="I16" i="1"/>
  <c r="I18" i="1" s="1"/>
  <c r="H10" i="1"/>
  <c r="H20" i="1"/>
  <c r="H35" i="1" s="1"/>
  <c r="J20" i="1" l="1"/>
  <c r="J35" i="1" s="1"/>
  <c r="J10" i="1"/>
  <c r="I10" i="1"/>
  <c r="I20" i="1"/>
  <c r="I35" i="1" s="1"/>
</calcChain>
</file>

<file path=xl/sharedStrings.xml><?xml version="1.0" encoding="utf-8"?>
<sst xmlns="http://schemas.openxmlformats.org/spreadsheetml/2006/main" count="47" uniqueCount="47">
  <si>
    <t>Income Statement</t>
  </si>
  <si>
    <t>Company Name</t>
  </si>
  <si>
    <t>Notes</t>
  </si>
  <si>
    <t xml:space="preserve">Financial Statements in USD </t>
  </si>
  <si>
    <t>2021A</t>
  </si>
  <si>
    <t>2022E</t>
  </si>
  <si>
    <t>2023P</t>
  </si>
  <si>
    <t>2024P</t>
  </si>
  <si>
    <t>2025P</t>
  </si>
  <si>
    <t>2026P</t>
  </si>
  <si>
    <t>2027P</t>
  </si>
  <si>
    <t>Hypothetical startup with 2 co-foudners in 2021</t>
  </si>
  <si>
    <t>Revenue</t>
  </si>
  <si>
    <t>Assumptions at bottom</t>
  </si>
  <si>
    <t>Platform License Fees</t>
  </si>
  <si>
    <t>Orange boxes are parameters</t>
  </si>
  <si>
    <t>Services Revenue</t>
  </si>
  <si>
    <t>Breakeven in 2026</t>
  </si>
  <si>
    <t>Maintenance Revenue</t>
  </si>
  <si>
    <t>Total Revenue</t>
  </si>
  <si>
    <t>implied total Growth Rate</t>
  </si>
  <si>
    <t>Growth rate Platform</t>
  </si>
  <si>
    <t>Growth rate Services</t>
  </si>
  <si>
    <t>Growth rate Maintenance</t>
  </si>
  <si>
    <t>Cost of Goods Sold</t>
  </si>
  <si>
    <t>Direct Labour</t>
  </si>
  <si>
    <t>Headcount Growth</t>
  </si>
  <si>
    <t xml:space="preserve">    Cost of Goods Sold</t>
  </si>
  <si>
    <t xml:space="preserve">    Gross Profit (Loss)</t>
  </si>
  <si>
    <t>Expenses</t>
  </si>
  <si>
    <t>BD, Sales &amp; Marketing</t>
  </si>
  <si>
    <t>Employee Benefit Programs</t>
  </si>
  <si>
    <t xml:space="preserve">Insurance </t>
  </si>
  <si>
    <t>Interest</t>
  </si>
  <si>
    <t>Legal and Professional Fees</t>
  </si>
  <si>
    <t>Licenses and Fees</t>
  </si>
  <si>
    <t>Rent</t>
  </si>
  <si>
    <t>Travel</t>
  </si>
  <si>
    <t>Utilities</t>
  </si>
  <si>
    <t>G&amp;A Wages</t>
  </si>
  <si>
    <t xml:space="preserve">    Total Expenses</t>
  </si>
  <si>
    <t xml:space="preserve">    Net Income (Loss)</t>
  </si>
  <si>
    <t>Assumptions</t>
  </si>
  <si>
    <t>Labour annual</t>
  </si>
  <si>
    <t>Headcount</t>
  </si>
  <si>
    <t>Platform fee per license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</si>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</sst>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_);\(0\)"/>
    <numFmt numFmtId="165" formatCode="_-* #,##0_-;\-* #,##0_-;_-* &quot;-&quot;??_-;_-@_-"/>
    <numFmt numFmtId="166" formatCode="#,##0.0;[Red]\-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4" tint="-0.499984740745262"/>
      <name val="Calibri Light"/>
      <family val="2"/>
      <scheme val="major"/>
    </font>
    <font>
      <sz val="1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9"/>
      <name val="Calibri"/>
      <family val="2"/>
      <scheme val="minor"/>
    </font>
    <font>
      <i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1" applyNumberFormat="0" applyAlignment="0" applyProtection="0"/>
  </cellStyleXfs>
  <cellXfs count="34">
    <xf numFmtId="0" fontId="0" fillId="0" borderId="0" xfId="0"/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8" fillId="0" borderId="0" xfId="0" applyFont="1"/>
    <xf numFmtId="0" fontId="5" fillId="0" borderId="0" xfId="0" applyFont="1" applyAlignment="1" applyProtection="1">
      <alignment horizontal="left"/>
      <protection locked="0"/>
    </xf>
    <xf numFmtId="164" fontId="5" fillId="0" borderId="0" xfId="0" applyNumberFormat="1" applyFont="1" applyAlignment="1">
      <alignment wrapText="1"/>
    </xf>
    <xf numFmtId="0" fontId="9" fillId="4" borderId="0" xfId="0" applyFont="1" applyFill="1" applyProtection="1">
      <protection locked="0"/>
    </xf>
    <xf numFmtId="0" fontId="10" fillId="0" borderId="0" xfId="0" applyFont="1" applyAlignment="1">
      <alignment wrapText="1"/>
    </xf>
    <xf numFmtId="0" fontId="5" fillId="0" borderId="0" xfId="0" applyFont="1" applyAlignment="1" applyProtection="1">
      <alignment horizontal="left" indent="2"/>
      <protection locked="0"/>
    </xf>
    <xf numFmtId="165" fontId="5" fillId="0" borderId="2" xfId="1" applyNumberFormat="1" applyFont="1" applyBorder="1" applyAlignment="1" applyProtection="1">
      <alignment wrapText="1"/>
      <protection locked="0"/>
    </xf>
    <xf numFmtId="0" fontId="8" fillId="0" borderId="0" xfId="0" applyFont="1" applyAlignment="1" applyProtection="1">
      <alignment horizontal="left" indent="1"/>
      <protection locked="0"/>
    </xf>
    <xf numFmtId="165" fontId="8" fillId="0" borderId="0" xfId="1" applyNumberFormat="1" applyFont="1" applyBorder="1" applyAlignment="1" applyProtection="1">
      <alignment wrapText="1"/>
      <protection locked="0"/>
    </xf>
    <xf numFmtId="0" fontId="11" fillId="0" borderId="0" xfId="0" applyFont="1" applyAlignment="1" applyProtection="1">
      <alignment horizontal="left" indent="2"/>
      <protection locked="0"/>
    </xf>
    <xf numFmtId="164" fontId="5" fillId="5" borderId="0" xfId="0" applyNumberFormat="1" applyFont="1" applyFill="1" applyAlignment="1" applyProtection="1">
      <alignment wrapText="1"/>
      <protection locked="0"/>
    </xf>
    <xf numFmtId="9" fontId="3" fillId="3" borderId="1" xfId="3" applyNumberFormat="1" applyAlignment="1" applyProtection="1">
      <alignment wrapText="1"/>
      <protection locked="0"/>
    </xf>
    <xf numFmtId="0" fontId="11" fillId="0" borderId="0" xfId="0" applyFont="1" applyAlignment="1" applyProtection="1">
      <alignment horizontal="left" indent="3"/>
      <protection locked="0"/>
    </xf>
    <xf numFmtId="9" fontId="2" fillId="2" borderId="1" xfId="2" applyFont="1" applyFill="1" applyBorder="1" applyAlignment="1" applyProtection="1">
      <alignment wrapText="1"/>
      <protection locked="0"/>
    </xf>
    <xf numFmtId="164" fontId="5" fillId="0" borderId="0" xfId="0" applyNumberFormat="1" applyFont="1" applyAlignment="1" applyProtection="1">
      <alignment wrapText="1"/>
      <protection locked="0"/>
    </xf>
    <xf numFmtId="9" fontId="2" fillId="5" borderId="1" xfId="2" applyFont="1" applyFill="1" applyBorder="1" applyAlignment="1" applyProtection="1">
      <alignment wrapText="1"/>
      <protection locked="0"/>
    </xf>
    <xf numFmtId="0" fontId="8" fillId="0" borderId="0" xfId="0" applyFont="1" applyAlignment="1" applyProtection="1">
      <alignment horizontal="left" indent="2"/>
      <protection locked="0"/>
    </xf>
    <xf numFmtId="165" fontId="8" fillId="0" borderId="0" xfId="1" applyNumberFormat="1" applyFont="1" applyAlignment="1" applyProtection="1">
      <alignment wrapText="1"/>
    </xf>
    <xf numFmtId="165" fontId="5" fillId="0" borderId="0" xfId="1" applyNumberFormat="1" applyFont="1" applyAlignment="1" applyProtection="1">
      <alignment wrapText="1"/>
    </xf>
    <xf numFmtId="166" fontId="8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>
      <alignment horizontal="left" indent="2"/>
    </xf>
    <xf numFmtId="0" fontId="8" fillId="0" borderId="0" xfId="0" applyFont="1" applyAlignment="1">
      <alignment wrapText="1"/>
    </xf>
    <xf numFmtId="164" fontId="8" fillId="0" borderId="0" xfId="0" applyNumberFormat="1" applyFont="1" applyAlignment="1">
      <alignment wrapText="1"/>
    </xf>
  </cellXfs>
  <cellStyles count="4">
    <cellStyle name="Calculation" xfId="3" builtinId="22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D174-7D94-4F6B-8A12-CF5C85F91032}">
  <dimension ref="B1:L49"/>
  <sheetViews>
    <sheetView tabSelected="1" workbookViewId="0">
      <selection activeCell="G7" sqref="G7"/>
    </sheetView>
  </sheetViews>
  <sheetFormatPr defaultRowHeight="14.5" x14ac:dyDescent="0.35"/>
  <cols>
    <col min="2" max="2" width="31.81640625" style="7" customWidth="1"/>
    <col min="3" max="3" width="4.6328125" style="7" customWidth="1"/>
    <col min="4" max="4" width="15.54296875" style="13" customWidth="1"/>
    <col min="5" max="5" width="11.81640625" style="7" bestFit="1" customWidth="1"/>
    <col min="6" max="7" width="12.6328125" style="7" bestFit="1" customWidth="1"/>
    <col min="8" max="10" width="12.7265625" style="7" bestFit="1" customWidth="1"/>
    <col min="11" max="11" width="8.7265625" style="7"/>
    <col min="12" max="12" width="8.7265625" style="8"/>
  </cols>
  <sheetData>
    <row r="1" spans="2:12" ht="23.5" x14ac:dyDescent="0.55000000000000004">
      <c r="B1" s="1" t="s">
        <v>0</v>
      </c>
      <c r="C1" s="1"/>
      <c r="D1" s="1"/>
      <c r="E1" s="2"/>
      <c r="F1" s="2"/>
      <c r="G1" s="2"/>
      <c r="H1" s="2"/>
      <c r="I1" s="2"/>
      <c r="J1" s="2"/>
      <c r="K1" s="2"/>
      <c r="L1" s="3"/>
    </row>
    <row r="2" spans="2:12" ht="15.5" x14ac:dyDescent="0.35">
      <c r="B2" s="4" t="s">
        <v>1</v>
      </c>
      <c r="C2" s="5"/>
      <c r="D2" s="6"/>
    </row>
    <row r="3" spans="2:12" ht="15.5" x14ac:dyDescent="0.35">
      <c r="B3" s="4"/>
      <c r="C3" s="9"/>
      <c r="D3" s="10"/>
      <c r="L3" s="11" t="s">
        <v>2</v>
      </c>
    </row>
    <row r="4" spans="2:12" x14ac:dyDescent="0.35">
      <c r="B4" s="12" t="s">
        <v>3</v>
      </c>
      <c r="D4" s="33" t="s">
        <v>4</v>
      </c>
      <c r="E4" s="32" t="s">
        <v>5</v>
      </c>
      <c r="F4" s="32" t="s">
        <v>6</v>
      </c>
      <c r="G4" s="32" t="s">
        <v>7</v>
      </c>
      <c r="H4" s="32" t="s">
        <v>8</v>
      </c>
      <c r="I4" s="32" t="s">
        <v>9</v>
      </c>
      <c r="J4" s="32" t="s">
        <v>10</v>
      </c>
      <c r="L4" s="8" t="s">
        <v>11</v>
      </c>
    </row>
    <row r="5" spans="2:12" ht="15.5" x14ac:dyDescent="0.35">
      <c r="B5" s="14" t="s">
        <v>12</v>
      </c>
      <c r="C5" s="15"/>
      <c r="L5" s="8" t="s">
        <v>13</v>
      </c>
    </row>
    <row r="6" spans="2:12" x14ac:dyDescent="0.35">
      <c r="B6" s="16" t="s">
        <v>14</v>
      </c>
      <c r="D6" s="17">
        <v>5000</v>
      </c>
      <c r="E6" s="17">
        <f>D6*(1+E11)</f>
        <v>5500</v>
      </c>
      <c r="F6" s="17">
        <f t="shared" ref="F6:J6" si="0">E6*(1+F11)</f>
        <v>6600</v>
      </c>
      <c r="G6" s="17">
        <f t="shared" si="0"/>
        <v>19800</v>
      </c>
      <c r="H6" s="17">
        <f t="shared" si="0"/>
        <v>118800</v>
      </c>
      <c r="I6" s="17">
        <f t="shared" si="0"/>
        <v>831600</v>
      </c>
      <c r="J6" s="17">
        <f t="shared" si="0"/>
        <v>5821200</v>
      </c>
      <c r="L6" s="8" t="s">
        <v>15</v>
      </c>
    </row>
    <row r="7" spans="2:12" x14ac:dyDescent="0.35">
      <c r="B7" s="16" t="s">
        <v>16</v>
      </c>
      <c r="D7" s="17">
        <v>100000</v>
      </c>
      <c r="E7" s="17">
        <f t="shared" ref="E7:J8" si="1">D7*(1+E12)</f>
        <v>110000.00000000001</v>
      </c>
      <c r="F7" s="17">
        <f t="shared" si="1"/>
        <v>121000.00000000003</v>
      </c>
      <c r="G7" s="17">
        <f t="shared" si="1"/>
        <v>133100.00000000003</v>
      </c>
      <c r="H7" s="17">
        <f t="shared" si="1"/>
        <v>146410.00000000006</v>
      </c>
      <c r="I7" s="17">
        <f t="shared" si="1"/>
        <v>161051.00000000009</v>
      </c>
      <c r="J7" s="17">
        <f t="shared" si="1"/>
        <v>177156.10000000012</v>
      </c>
      <c r="L7" s="8" t="s">
        <v>17</v>
      </c>
    </row>
    <row r="8" spans="2:12" x14ac:dyDescent="0.35">
      <c r="B8" s="16" t="s">
        <v>18</v>
      </c>
      <c r="D8" s="17">
        <v>10000</v>
      </c>
      <c r="E8" s="17">
        <f t="shared" si="1"/>
        <v>11000</v>
      </c>
      <c r="F8" s="17">
        <f t="shared" si="1"/>
        <v>13200</v>
      </c>
      <c r="G8" s="17">
        <f t="shared" si="1"/>
        <v>26400</v>
      </c>
      <c r="H8" s="17">
        <f t="shared" si="1"/>
        <v>158400</v>
      </c>
      <c r="I8" s="17">
        <f t="shared" si="1"/>
        <v>1108800</v>
      </c>
      <c r="J8" s="17">
        <f t="shared" si="1"/>
        <v>7761600</v>
      </c>
    </row>
    <row r="9" spans="2:12" x14ac:dyDescent="0.35">
      <c r="B9" s="18" t="s">
        <v>19</v>
      </c>
      <c r="D9" s="19">
        <f t="shared" ref="D9:J9" si="2">D8+D7+D6</f>
        <v>115000</v>
      </c>
      <c r="E9" s="19">
        <f t="shared" si="2"/>
        <v>126500.00000000001</v>
      </c>
      <c r="F9" s="19">
        <f t="shared" si="2"/>
        <v>140800.00000000003</v>
      </c>
      <c r="G9" s="19">
        <f t="shared" si="2"/>
        <v>179300.00000000003</v>
      </c>
      <c r="H9" s="19">
        <f t="shared" si="2"/>
        <v>423610.00000000006</v>
      </c>
      <c r="I9" s="19">
        <f t="shared" si="2"/>
        <v>2101451</v>
      </c>
      <c r="J9" s="19">
        <f t="shared" si="2"/>
        <v>13759956.100000001</v>
      </c>
    </row>
    <row r="10" spans="2:12" x14ac:dyDescent="0.35">
      <c r="B10" s="20" t="s">
        <v>20</v>
      </c>
      <c r="D10" s="21"/>
      <c r="E10" s="22">
        <f>(E9-D9)/E9</f>
        <v>9.0909090909091009E-2</v>
      </c>
      <c r="F10" s="22">
        <f t="shared" ref="F10:J10" si="3">(F9-E9)/F9</f>
        <v>0.10156250000000008</v>
      </c>
      <c r="G10" s="22">
        <f t="shared" si="3"/>
        <v>0.21472392638036805</v>
      </c>
      <c r="H10" s="22">
        <f t="shared" si="3"/>
        <v>0.57673331602181255</v>
      </c>
      <c r="I10" s="22">
        <f t="shared" si="3"/>
        <v>0.79842023439994558</v>
      </c>
      <c r="J10" s="22">
        <f t="shared" si="3"/>
        <v>0.84727778310281099</v>
      </c>
    </row>
    <row r="11" spans="2:12" x14ac:dyDescent="0.35">
      <c r="B11" s="23" t="s">
        <v>21</v>
      </c>
      <c r="D11" s="21"/>
      <c r="E11" s="24">
        <v>0.1</v>
      </c>
      <c r="F11" s="24">
        <v>0.2</v>
      </c>
      <c r="G11" s="24">
        <v>2</v>
      </c>
      <c r="H11" s="24">
        <v>5</v>
      </c>
      <c r="I11" s="24">
        <v>6</v>
      </c>
      <c r="J11" s="24">
        <v>6</v>
      </c>
    </row>
    <row r="12" spans="2:12" x14ac:dyDescent="0.35">
      <c r="B12" s="23" t="s">
        <v>22</v>
      </c>
      <c r="D12" s="21"/>
      <c r="E12" s="24">
        <v>0.1</v>
      </c>
      <c r="F12" s="24">
        <v>0.1</v>
      </c>
      <c r="G12" s="24">
        <v>0.1</v>
      </c>
      <c r="H12" s="24">
        <v>0.1</v>
      </c>
      <c r="I12" s="24">
        <v>0.1</v>
      </c>
      <c r="J12" s="24">
        <v>0.1</v>
      </c>
    </row>
    <row r="13" spans="2:12" x14ac:dyDescent="0.35">
      <c r="B13" s="23" t="s">
        <v>23</v>
      </c>
      <c r="D13" s="21"/>
      <c r="E13" s="24">
        <v>0.1</v>
      </c>
      <c r="F13" s="24">
        <v>0.2</v>
      </c>
      <c r="G13" s="24">
        <v>1</v>
      </c>
      <c r="H13" s="24">
        <v>5</v>
      </c>
      <c r="I13" s="24">
        <v>6</v>
      </c>
      <c r="J13" s="24">
        <v>6</v>
      </c>
    </row>
    <row r="14" spans="2:12" x14ac:dyDescent="0.35">
      <c r="B14" s="16"/>
      <c r="D14" s="25"/>
      <c r="E14" s="25"/>
      <c r="F14" s="25"/>
      <c r="G14" s="25"/>
      <c r="H14" s="25"/>
      <c r="I14" s="25"/>
      <c r="J14" s="25"/>
    </row>
    <row r="15" spans="2:12" ht="15.5" x14ac:dyDescent="0.35">
      <c r="B15" s="14" t="s">
        <v>24</v>
      </c>
      <c r="C15" s="15"/>
      <c r="E15" s="13"/>
      <c r="F15" s="13"/>
      <c r="G15" s="13"/>
      <c r="H15" s="13"/>
      <c r="I15" s="13"/>
      <c r="J15" s="13"/>
    </row>
    <row r="16" spans="2:12" x14ac:dyDescent="0.35">
      <c r="B16" s="16" t="s">
        <v>25</v>
      </c>
      <c r="D16" s="17">
        <f>D45*D46</f>
        <v>200000</v>
      </c>
      <c r="E16" s="17">
        <f>E45*E46</f>
        <v>400000</v>
      </c>
      <c r="F16" s="17">
        <f t="shared" ref="F16:J16" si="4">F45*F46</f>
        <v>800000</v>
      </c>
      <c r="G16" s="17">
        <f t="shared" si="4"/>
        <v>880000.00000000012</v>
      </c>
      <c r="H16" s="17">
        <f t="shared" si="4"/>
        <v>968000.00000000012</v>
      </c>
      <c r="I16" s="17">
        <f t="shared" si="4"/>
        <v>1064800.0000000002</v>
      </c>
      <c r="J16" s="17">
        <f t="shared" si="4"/>
        <v>1171280.0000000005</v>
      </c>
    </row>
    <row r="17" spans="2:10" x14ac:dyDescent="0.35">
      <c r="B17" s="23" t="s">
        <v>26</v>
      </c>
      <c r="D17" s="26"/>
      <c r="E17" s="24">
        <v>1</v>
      </c>
      <c r="F17" s="24">
        <v>1</v>
      </c>
      <c r="G17" s="24">
        <v>0.1</v>
      </c>
      <c r="H17" s="24">
        <v>0.1</v>
      </c>
      <c r="I17" s="24">
        <v>0.1</v>
      </c>
      <c r="J17" s="24">
        <v>0.1</v>
      </c>
    </row>
    <row r="18" spans="2:10" x14ac:dyDescent="0.35">
      <c r="B18" s="27" t="s">
        <v>27</v>
      </c>
      <c r="D18" s="28">
        <f>D16</f>
        <v>200000</v>
      </c>
      <c r="E18" s="28">
        <f t="shared" ref="E18:J18" si="5">E16</f>
        <v>400000</v>
      </c>
      <c r="F18" s="28">
        <f t="shared" si="5"/>
        <v>800000</v>
      </c>
      <c r="G18" s="28">
        <f t="shared" si="5"/>
        <v>880000.00000000012</v>
      </c>
      <c r="H18" s="28">
        <f t="shared" si="5"/>
        <v>968000.00000000012</v>
      </c>
      <c r="I18" s="28">
        <f t="shared" si="5"/>
        <v>1064800.0000000002</v>
      </c>
      <c r="J18" s="28">
        <f t="shared" si="5"/>
        <v>1171280.0000000005</v>
      </c>
    </row>
    <row r="19" spans="2:10" x14ac:dyDescent="0.35">
      <c r="B19" s="16"/>
      <c r="E19" s="13"/>
      <c r="F19" s="13"/>
      <c r="G19" s="13"/>
      <c r="H19" s="13"/>
      <c r="I19" s="13"/>
      <c r="J19" s="13"/>
    </row>
    <row r="20" spans="2:10" x14ac:dyDescent="0.35">
      <c r="B20" s="27" t="s">
        <v>28</v>
      </c>
      <c r="D20" s="29">
        <f>D9-D18</f>
        <v>-85000</v>
      </c>
      <c r="E20" s="29">
        <f t="shared" ref="E20:J20" si="6">E9-E18</f>
        <v>-273500</v>
      </c>
      <c r="F20" s="29">
        <f t="shared" si="6"/>
        <v>-659200</v>
      </c>
      <c r="G20" s="29">
        <f t="shared" si="6"/>
        <v>-700700.00000000012</v>
      </c>
      <c r="H20" s="29">
        <f t="shared" si="6"/>
        <v>-544390</v>
      </c>
      <c r="I20" s="29">
        <f t="shared" si="6"/>
        <v>1036650.9999999998</v>
      </c>
      <c r="J20" s="29">
        <f t="shared" si="6"/>
        <v>12588676.100000001</v>
      </c>
    </row>
    <row r="21" spans="2:10" x14ac:dyDescent="0.35">
      <c r="B21" s="16"/>
      <c r="E21" s="13"/>
      <c r="F21" s="13"/>
      <c r="G21" s="13"/>
      <c r="H21" s="13"/>
      <c r="I21" s="13"/>
      <c r="J21" s="13"/>
    </row>
    <row r="22" spans="2:10" ht="15.5" x14ac:dyDescent="0.35">
      <c r="B22" s="14" t="s">
        <v>29</v>
      </c>
      <c r="C22" s="15"/>
      <c r="E22" s="13"/>
      <c r="F22" s="13"/>
      <c r="G22" s="13"/>
      <c r="H22" s="13"/>
      <c r="I22" s="13"/>
      <c r="J22" s="13"/>
    </row>
    <row r="23" spans="2:10" x14ac:dyDescent="0.35">
      <c r="B23" s="16" t="s">
        <v>30</v>
      </c>
      <c r="D23" s="17">
        <v>0</v>
      </c>
      <c r="E23" s="17">
        <v>1000</v>
      </c>
      <c r="F23" s="17">
        <v>100000</v>
      </c>
      <c r="G23" s="17">
        <v>250000</v>
      </c>
      <c r="H23" s="17">
        <v>500000</v>
      </c>
      <c r="I23" s="17">
        <v>500000</v>
      </c>
      <c r="J23" s="17">
        <v>500000</v>
      </c>
    </row>
    <row r="24" spans="2:10" x14ac:dyDescent="0.35">
      <c r="B24" s="16" t="s">
        <v>31</v>
      </c>
      <c r="D24" s="17">
        <v>0</v>
      </c>
      <c r="E24" s="17">
        <v>150000</v>
      </c>
      <c r="F24" s="17">
        <v>150000</v>
      </c>
      <c r="G24" s="17">
        <v>150000</v>
      </c>
      <c r="H24" s="17">
        <v>150000</v>
      </c>
      <c r="I24" s="17">
        <v>150000</v>
      </c>
      <c r="J24" s="17">
        <v>150000</v>
      </c>
    </row>
    <row r="25" spans="2:10" x14ac:dyDescent="0.35">
      <c r="B25" s="16" t="s">
        <v>32</v>
      </c>
      <c r="D25" s="17">
        <v>50000</v>
      </c>
      <c r="E25" s="17">
        <v>50000</v>
      </c>
      <c r="F25" s="17">
        <v>50000</v>
      </c>
      <c r="G25" s="17">
        <v>50000</v>
      </c>
      <c r="H25" s="17">
        <v>50000</v>
      </c>
      <c r="I25" s="17">
        <v>50000</v>
      </c>
      <c r="J25" s="17">
        <v>50000</v>
      </c>
    </row>
    <row r="26" spans="2:10" x14ac:dyDescent="0.35">
      <c r="B26" s="16" t="s">
        <v>33</v>
      </c>
      <c r="D26" s="17">
        <v>0</v>
      </c>
      <c r="E26" s="17">
        <v>20000</v>
      </c>
      <c r="F26" s="17">
        <v>50000</v>
      </c>
      <c r="G26" s="17">
        <v>50000</v>
      </c>
      <c r="H26" s="17">
        <v>50000</v>
      </c>
      <c r="I26" s="17">
        <v>50000</v>
      </c>
      <c r="J26" s="17">
        <v>50000</v>
      </c>
    </row>
    <row r="27" spans="2:10" x14ac:dyDescent="0.35">
      <c r="B27" s="16" t="s">
        <v>34</v>
      </c>
      <c r="D27" s="17">
        <v>100000</v>
      </c>
      <c r="E27" s="17">
        <v>100000</v>
      </c>
      <c r="F27" s="17">
        <v>100000</v>
      </c>
      <c r="G27" s="17">
        <v>100000</v>
      </c>
      <c r="H27" s="17">
        <v>100000</v>
      </c>
      <c r="I27" s="17">
        <v>100000</v>
      </c>
      <c r="J27" s="17">
        <v>100000</v>
      </c>
    </row>
    <row r="28" spans="2:10" x14ac:dyDescent="0.35">
      <c r="B28" s="16" t="s">
        <v>35</v>
      </c>
      <c r="D28" s="17">
        <v>0</v>
      </c>
      <c r="E28" s="17">
        <v>0</v>
      </c>
      <c r="F28" s="17">
        <v>2500</v>
      </c>
      <c r="G28" s="17">
        <v>25000</v>
      </c>
      <c r="H28" s="17">
        <v>25000</v>
      </c>
      <c r="I28" s="17">
        <v>25000</v>
      </c>
      <c r="J28" s="17">
        <v>25000</v>
      </c>
    </row>
    <row r="29" spans="2:10" x14ac:dyDescent="0.35">
      <c r="B29" s="16" t="s">
        <v>36</v>
      </c>
      <c r="D29" s="17">
        <v>0</v>
      </c>
      <c r="E29" s="17">
        <v>25000</v>
      </c>
      <c r="F29" s="17">
        <v>50000</v>
      </c>
      <c r="G29" s="17">
        <v>100000</v>
      </c>
      <c r="H29" s="17">
        <v>100000</v>
      </c>
      <c r="I29" s="17">
        <v>100000</v>
      </c>
      <c r="J29" s="17">
        <v>100000</v>
      </c>
    </row>
    <row r="30" spans="2:10" x14ac:dyDescent="0.35">
      <c r="B30" s="16" t="s">
        <v>37</v>
      </c>
      <c r="D30" s="17">
        <v>10000</v>
      </c>
      <c r="E30" s="17">
        <v>20000</v>
      </c>
      <c r="F30" s="17">
        <v>100000</v>
      </c>
      <c r="G30" s="17">
        <v>100000</v>
      </c>
      <c r="H30" s="17">
        <v>100000</v>
      </c>
      <c r="I30" s="17">
        <v>100000</v>
      </c>
      <c r="J30" s="17">
        <v>100000</v>
      </c>
    </row>
    <row r="31" spans="2:10" x14ac:dyDescent="0.35">
      <c r="B31" s="16" t="s">
        <v>38</v>
      </c>
      <c r="D31" s="17">
        <v>0</v>
      </c>
      <c r="E31" s="17">
        <v>10000</v>
      </c>
      <c r="F31" s="17">
        <v>20000</v>
      </c>
      <c r="G31" s="17">
        <v>20000</v>
      </c>
      <c r="H31" s="17">
        <v>20000</v>
      </c>
      <c r="I31" s="17">
        <v>20000</v>
      </c>
      <c r="J31" s="17">
        <v>20000</v>
      </c>
    </row>
    <row r="32" spans="2:10" x14ac:dyDescent="0.35">
      <c r="B32" s="16" t="s">
        <v>39</v>
      </c>
      <c r="D32" s="17">
        <v>0</v>
      </c>
      <c r="E32" s="17">
        <v>20000</v>
      </c>
      <c r="F32" s="17">
        <v>100000</v>
      </c>
      <c r="G32" s="17">
        <v>250000</v>
      </c>
      <c r="H32" s="17">
        <v>250000</v>
      </c>
      <c r="I32" s="17">
        <v>250000</v>
      </c>
      <c r="J32" s="17">
        <v>250000</v>
      </c>
    </row>
    <row r="33" spans="2:10" x14ac:dyDescent="0.35">
      <c r="B33" s="27" t="s">
        <v>40</v>
      </c>
      <c r="D33" s="28">
        <f>SUM(D23:D32)</f>
        <v>160000</v>
      </c>
      <c r="E33" s="28">
        <f t="shared" ref="E33:J33" si="7">SUM(E23:E32)</f>
        <v>396000</v>
      </c>
      <c r="F33" s="28">
        <f t="shared" si="7"/>
        <v>722500</v>
      </c>
      <c r="G33" s="28">
        <f t="shared" si="7"/>
        <v>1095000</v>
      </c>
      <c r="H33" s="28">
        <f t="shared" si="7"/>
        <v>1345000</v>
      </c>
      <c r="I33" s="28">
        <f t="shared" si="7"/>
        <v>1345000</v>
      </c>
      <c r="J33" s="28">
        <f t="shared" si="7"/>
        <v>1345000</v>
      </c>
    </row>
    <row r="34" spans="2:10" x14ac:dyDescent="0.35">
      <c r="B34" s="27"/>
      <c r="E34" s="13"/>
      <c r="F34" s="13"/>
      <c r="G34" s="13"/>
      <c r="H34" s="13"/>
      <c r="I34" s="13"/>
      <c r="J34" s="13"/>
    </row>
    <row r="35" spans="2:10" x14ac:dyDescent="0.35">
      <c r="B35" s="30" t="s">
        <v>41</v>
      </c>
      <c r="D35" s="28">
        <f t="shared" ref="D35:J35" si="8">D20-D33</f>
        <v>-245000</v>
      </c>
      <c r="E35" s="28">
        <f t="shared" si="8"/>
        <v>-669500</v>
      </c>
      <c r="F35" s="28">
        <f t="shared" si="8"/>
        <v>-1381700</v>
      </c>
      <c r="G35" s="28">
        <f t="shared" si="8"/>
        <v>-1795700</v>
      </c>
      <c r="H35" s="28">
        <f t="shared" si="8"/>
        <v>-1889390</v>
      </c>
      <c r="I35" s="28">
        <f t="shared" si="8"/>
        <v>-308349.00000000023</v>
      </c>
      <c r="J35" s="28">
        <f t="shared" si="8"/>
        <v>11243676.100000001</v>
      </c>
    </row>
    <row r="36" spans="2:10" x14ac:dyDescent="0.35">
      <c r="B36" s="16"/>
      <c r="E36" s="13"/>
      <c r="F36" s="13"/>
      <c r="G36" s="13"/>
      <c r="H36" s="13"/>
      <c r="I36" s="13"/>
      <c r="J36" s="13"/>
    </row>
    <row r="37" spans="2:10" x14ac:dyDescent="0.35">
      <c r="B37" s="16"/>
      <c r="E37" s="13"/>
      <c r="F37" s="13"/>
      <c r="G37" s="13"/>
      <c r="H37" s="13"/>
      <c r="I37" s="13"/>
      <c r="J37" s="13"/>
    </row>
    <row r="38" spans="2:10" x14ac:dyDescent="0.35">
      <c r="E38" s="13"/>
      <c r="F38" s="13"/>
      <c r="G38" s="13"/>
      <c r="H38" s="13"/>
      <c r="I38" s="13"/>
      <c r="J38" s="13"/>
    </row>
    <row r="39" spans="2:10" x14ac:dyDescent="0.35">
      <c r="B39" s="31"/>
    </row>
    <row r="40" spans="2:10" x14ac:dyDescent="0.35">
      <c r="B40" s="31"/>
    </row>
    <row r="44" spans="2:10" x14ac:dyDescent="0.35">
      <c r="B44" s="32" t="s">
        <v>42</v>
      </c>
    </row>
    <row r="45" spans="2:10" x14ac:dyDescent="0.35">
      <c r="B45" s="7" t="s">
        <v>43</v>
      </c>
      <c r="D45" s="29">
        <v>100000</v>
      </c>
      <c r="E45" s="29">
        <v>100000</v>
      </c>
      <c r="F45" s="29">
        <v>100000</v>
      </c>
      <c r="G45" s="29">
        <v>100000</v>
      </c>
      <c r="H45" s="29">
        <v>100000</v>
      </c>
      <c r="I45" s="29">
        <v>100000</v>
      </c>
      <c r="J45" s="29">
        <v>100000</v>
      </c>
    </row>
    <row r="46" spans="2:10" x14ac:dyDescent="0.35">
      <c r="B46" s="7" t="s">
        <v>44</v>
      </c>
      <c r="D46" s="13">
        <v>2</v>
      </c>
      <c r="E46" s="7">
        <f t="shared" ref="E46:J46" si="9">D46*(1+E17)</f>
        <v>4</v>
      </c>
      <c r="F46" s="7">
        <f t="shared" si="9"/>
        <v>8</v>
      </c>
      <c r="G46" s="7">
        <f t="shared" si="9"/>
        <v>8.8000000000000007</v>
      </c>
      <c r="H46" s="7">
        <f t="shared" si="9"/>
        <v>9.6800000000000015</v>
      </c>
      <c r="I46" s="7">
        <f t="shared" si="9"/>
        <v>10.648000000000003</v>
      </c>
      <c r="J46" s="7">
        <f t="shared" si="9"/>
        <v>11.712800000000005</v>
      </c>
    </row>
    <row r="48" spans="2:10" x14ac:dyDescent="0.35">
      <c r="B48" s="7" t="s">
        <v>45</v>
      </c>
      <c r="D48" s="13">
        <v>1000</v>
      </c>
      <c r="E48" s="13">
        <v>1000</v>
      </c>
      <c r="F48" s="13">
        <v>1000</v>
      </c>
      <c r="G48" s="13">
        <v>1000</v>
      </c>
      <c r="H48" s="13">
        <v>1000</v>
      </c>
      <c r="I48" s="13">
        <v>1000</v>
      </c>
      <c r="J48" s="13">
        <v>1000</v>
      </c>
    </row>
    <row r="49" spans="2:4" x14ac:dyDescent="0.35">
      <c r="B49" s="7" t="s">
        <v>46</v>
      </c>
      <c r="D49" s="13">
        <v>5</v>
      </c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DD2102318FFF4ABEBD36C72E922C61" ma:contentTypeVersion="2" ma:contentTypeDescription="Create a new document." ma:contentTypeScope="" ma:versionID="ef0f56a06d41a611656528aa3b3d72ed">
  <xsd:schema xmlns:xsd="http://www.w3.org/2001/XMLSchema" xmlns:xs="http://www.w3.org/2001/XMLSchema" xmlns:p="http://schemas.microsoft.com/office/2006/metadata/properties" xmlns:ns2="aa745888-4eb8-488c-8017-a37c06cd7c48" targetNamespace="http://schemas.microsoft.com/office/2006/metadata/properties" ma:root="true" ma:fieldsID="f7f1f3ae4c790277d4c0b03082d07acc" ns2:_="">
    <xsd:import namespace="aa745888-4eb8-488c-8017-a37c06cd7c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45888-4eb8-488c-8017-a37c06cd7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B1EEB-40E2-473C-9D03-B2CAD20DCFD7}"/>
</file>

<file path=customXml/itemProps2.xml><?xml version="1.0" encoding="utf-8"?>
<ds:datastoreItem xmlns:ds="http://schemas.openxmlformats.org/officeDocument/2006/customXml" ds:itemID="{0ADBBCF6-42B9-452B-94A9-BD4E499C7E9F}"/>
</file>

<file path=customXml/itemProps3.xml><?xml version="1.0" encoding="utf-8"?>
<ds:datastoreItem xmlns:ds="http://schemas.openxmlformats.org/officeDocument/2006/customXml" ds:itemID="{9A7F69AB-F288-4534-A1E5-FE43BB18C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john.tang@ucl.ac.uk</dc:creator>
  <cp:lastModifiedBy>john tang</cp:lastModifiedBy>
  <dcterms:created xsi:type="dcterms:W3CDTF">2023-02-03T20:10:21Z</dcterms:created>
  <dcterms:modified xsi:type="dcterms:W3CDTF">2023-02-03T20:12:49Z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0x010100D6DD2102318FFF4ABEBD36C72E922C61</vt:lpwstr>
  </property>
</Properties>
</file>